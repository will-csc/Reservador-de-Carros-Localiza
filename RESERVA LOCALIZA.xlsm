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LOCALIZA" sheetId="1" r:id="rId5"/>
  </sheets>
  <externalReferences>
    <externalReference r:id="rId6"/>
  </externalReferences>
  <definedNames/>
  <calcPr/>
  <extLst>
    <ext uri="GoogleSheetsCustomDataVersion2">
      <go:sheetsCustomData xmlns:go="http://customooxmlschemas.google.com/" r:id="rId7" roundtripDataChecksum="NznPIMDaNf0u1wCvM5DdCm0KkiBdPaWk/GzCmJoaxCA="/>
    </ext>
  </extLst>
</workbook>
</file>

<file path=xl/sharedStrings.xml><?xml version="1.0" encoding="utf-8"?>
<sst xmlns="http://schemas.openxmlformats.org/spreadsheetml/2006/main" count="58" uniqueCount="48">
  <si>
    <t>DADOS DA RESERVA</t>
  </si>
  <si>
    <t>SIGLA CONDUTOR</t>
  </si>
  <si>
    <t>AGÊNCIAS</t>
  </si>
  <si>
    <t>DATA RETIRADA</t>
  </si>
  <si>
    <t>HORARIO</t>
  </si>
  <si>
    <t>AGÊNCIA</t>
  </si>
  <si>
    <t>C3</t>
  </si>
  <si>
    <t>Agencia Aeroporto Int Brasilia</t>
  </si>
  <si>
    <t>C6</t>
  </si>
  <si>
    <t>Aeroporto Galeao</t>
  </si>
  <si>
    <t>C9</t>
  </si>
  <si>
    <t>Agência Aeroporto Campo Grande</t>
  </si>
  <si>
    <t>DATA ENTREGA</t>
  </si>
  <si>
    <t>SELECIONE O CONDUTOR</t>
  </si>
  <si>
    <t>C8</t>
  </si>
  <si>
    <t>CONDUTORES</t>
  </si>
  <si>
    <t>CPF</t>
  </si>
  <si>
    <t>NOME</t>
  </si>
  <si>
    <t>TELEFONE</t>
  </si>
  <si>
    <t>E-MAIL</t>
  </si>
  <si>
    <t>ROBSON</t>
  </si>
  <si>
    <t>96364-4563</t>
  </si>
  <si>
    <t>COMERCIAL3@will.COM.BR</t>
  </si>
  <si>
    <t>DANILO</t>
  </si>
  <si>
    <t>96364-9563</t>
  </si>
  <si>
    <t>COMERCIAL6@will.COM.BR</t>
  </si>
  <si>
    <t xml:space="preserve">LUIZ </t>
  </si>
  <si>
    <t>96364-4566</t>
  </si>
  <si>
    <t>COMERCIAL9@will.COM.BR</t>
  </si>
  <si>
    <t>DADOS DO CONDUTOR</t>
  </si>
  <si>
    <t>CLECIO</t>
  </si>
  <si>
    <t>supplychain@will.com.br</t>
  </si>
  <si>
    <t>NACIONALIDADE</t>
  </si>
  <si>
    <t>DOCUMENTO</t>
  </si>
  <si>
    <t>N° DOCUMENTO</t>
  </si>
  <si>
    <t>BRASIL</t>
  </si>
  <si>
    <t>NOME COND.</t>
  </si>
  <si>
    <t>EMAIL</t>
  </si>
  <si>
    <t>TELEFONE EMP.</t>
  </si>
  <si>
    <t>vendas@WILL.com.br</t>
  </si>
  <si>
    <t xml:space="preserve">4785-1959 </t>
  </si>
  <si>
    <t>CENTRO DE CUST.</t>
  </si>
  <si>
    <t>SETOR/EMP.</t>
  </si>
  <si>
    <t>Comercial</t>
  </si>
  <si>
    <t>Bufalo Ind. Com. Produtos Quimico LTDA</t>
  </si>
  <si>
    <t/>
  </si>
  <si>
    <t>AREA</t>
  </si>
  <si>
    <t>DD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</si>
</sst>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[$-F400]h:mm:ss\ AM/PM"/>
    <numFmt numFmtId="165" formatCode="_-&quot;R$&quot;\ * #,##0.00_-;\-&quot;R$&quot;\ * #,##0.00_-;_-&quot;R$&quot;\ * &quot;-&quot;??_-;_-@"/>
    <numFmt numFmtId="166" formatCode="000\.000\.000\-00"/>
  </numFmts>
  <fonts count="17">
    <font>
      <sz val="11.0"/>
      <color theme="1"/>
      <name val="Calibri"/>
      <scheme val="minor"/>
    </font>
    <font>
      <b/>
      <sz val="26.0"/>
      <color rgb="FFFFC000"/>
      <name val="Calibri"/>
    </font>
    <font/>
    <font>
      <b/>
      <sz val="15.0"/>
      <color rgb="FF181A1B"/>
      <name val="Calibri"/>
    </font>
    <font>
      <b/>
      <sz val="15.0"/>
      <color theme="1"/>
      <name val="Calibri"/>
    </font>
    <font>
      <b/>
      <sz val="14.0"/>
      <color rgb="FFFFC000"/>
      <name val="Calibri"/>
    </font>
    <font>
      <sz val="14.0"/>
      <color rgb="FFFEF2CB"/>
      <name val="Calibri"/>
    </font>
    <font>
      <sz val="11.0"/>
      <color theme="1"/>
      <name val="Calibri"/>
    </font>
    <font>
      <sz val="14.0"/>
      <color theme="1"/>
      <name val="Calibri"/>
    </font>
    <font>
      <b/>
      <sz val="20.0"/>
      <color rgb="FFFFC000"/>
      <name val="Calibri"/>
    </font>
    <font>
      <b/>
      <sz val="18.0"/>
      <color theme="1"/>
      <name val="Calibri"/>
    </font>
    <font>
      <sz val="11.0"/>
      <color rgb="FFFEF2CB"/>
      <name val="Calibri"/>
    </font>
    <font>
      <u/>
      <sz val="11.0"/>
      <color theme="10"/>
      <name val="Calibri"/>
    </font>
    <font>
      <b/>
      <sz val="26.0"/>
      <color rgb="FFC80000"/>
      <name val="Calibri"/>
    </font>
    <font>
      <b/>
      <sz val="16.0"/>
      <color rgb="FFFEF2CB"/>
      <name val="Calibri"/>
    </font>
    <font>
      <b/>
      <sz val="14.0"/>
      <color theme="1"/>
      <name val="Calibri"/>
    </font>
    <font>
      <u/>
      <sz val="14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7A1804"/>
        <bgColor rgb="FF7A1804"/>
      </patternFill>
    </fill>
    <fill>
      <patternFill patternType="solid">
        <fgColor rgb="FF0A0F03"/>
        <bgColor rgb="FF0A0F03"/>
      </patternFill>
    </fill>
    <fill>
      <patternFill patternType="solid">
        <fgColor rgb="FFFAE3CF"/>
        <bgColor rgb="FFFAE3CF"/>
      </patternFill>
    </fill>
    <fill>
      <patternFill patternType="solid">
        <fgColor rgb="FFBB2233"/>
        <bgColor rgb="FFBB2233"/>
      </patternFill>
    </fill>
  </fills>
  <borders count="7">
    <border/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0" fontId="3" numFmtId="0" xfId="0" applyAlignment="1" applyBorder="1" applyFont="1">
      <alignment horizontal="center" readingOrder="0"/>
    </xf>
    <xf borderId="4" fillId="0" fontId="4" numFmtId="0" xfId="0" applyBorder="1" applyFont="1"/>
    <xf borderId="4" fillId="3" fontId="5" numFmtId="0" xfId="0" applyAlignment="1" applyBorder="1" applyFill="1" applyFont="1">
      <alignment horizontal="center"/>
    </xf>
    <xf borderId="0" fillId="0" fontId="6" numFmtId="0" xfId="0" applyFont="1"/>
    <xf borderId="4" fillId="0" fontId="7" numFmtId="0" xfId="0" applyAlignment="1" applyBorder="1" applyFont="1">
      <alignment horizontal="center"/>
    </xf>
    <xf borderId="4" fillId="0" fontId="7" numFmtId="0" xfId="0" applyBorder="1" applyFont="1"/>
    <xf borderId="4" fillId="0" fontId="8" numFmtId="14" xfId="0" applyAlignment="1" applyBorder="1" applyFont="1" applyNumberFormat="1">
      <alignment horizontal="center"/>
    </xf>
    <xf borderId="4" fillId="0" fontId="8" numFmtId="164" xfId="0" applyAlignment="1" applyBorder="1" applyFont="1" applyNumberFormat="1">
      <alignment horizontal="center"/>
    </xf>
    <xf borderId="0" fillId="0" fontId="6" numFmtId="165" xfId="0" applyFont="1" applyNumberFormat="1"/>
    <xf borderId="4" fillId="0" fontId="8" numFmtId="0" xfId="0" applyBorder="1" applyFont="1"/>
    <xf borderId="5" fillId="3" fontId="9" numFmtId="0" xfId="0" applyAlignment="1" applyBorder="1" applyFont="1">
      <alignment horizontal="center"/>
    </xf>
    <xf borderId="6" fillId="0" fontId="2" numFmtId="0" xfId="0" applyBorder="1" applyFont="1"/>
    <xf borderId="5" fillId="0" fontId="10" numFmtId="0" xfId="0" applyAlignment="1" applyBorder="1" applyFont="1">
      <alignment horizontal="center"/>
    </xf>
    <xf borderId="0" fillId="0" fontId="11" numFmtId="0" xfId="0" applyFont="1"/>
    <xf borderId="4" fillId="0" fontId="4" numFmtId="0" xfId="0" applyAlignment="1" applyBorder="1" applyFont="1">
      <alignment horizontal="center"/>
    </xf>
    <xf borderId="4" fillId="0" fontId="7" numFmtId="0" xfId="0" applyAlignment="1" applyBorder="1" applyFont="1">
      <alignment horizontal="center" readingOrder="0"/>
    </xf>
    <xf borderId="4" fillId="0" fontId="12" numFmtId="0" xfId="0" applyAlignment="1" applyBorder="1" applyFont="1">
      <alignment horizontal="center"/>
    </xf>
    <xf borderId="1" fillId="4" fontId="13" numFmtId="0" xfId="0" applyAlignment="1" applyBorder="1" applyFill="1" applyFont="1">
      <alignment horizontal="center" vertical="center"/>
    </xf>
    <xf borderId="4" fillId="5" fontId="14" numFmtId="0" xfId="0" applyAlignment="1" applyBorder="1" applyFill="1" applyFont="1">
      <alignment horizontal="center"/>
    </xf>
    <xf borderId="4" fillId="0" fontId="8" numFmtId="166" xfId="0" applyAlignment="1" applyBorder="1" applyFont="1" applyNumberFormat="1">
      <alignment horizontal="center"/>
    </xf>
    <xf borderId="0" fillId="0" fontId="8" numFmtId="0" xfId="0" applyFont="1"/>
    <xf borderId="4" fillId="0" fontId="15" numFmtId="0" xfId="0" applyAlignment="1" applyBorder="1" applyFont="1">
      <alignment readingOrder="0"/>
    </xf>
    <xf borderId="4" fillId="0" fontId="8" numFmtId="0" xfId="0" applyAlignment="1" applyBorder="1" applyFont="1">
      <alignment horizontal="center"/>
    </xf>
    <xf quotePrefix="1" borderId="0" fillId="0" fontId="11" numFmtId="0" xfId="0" applyFont="1"/>
    <xf borderId="4" fillId="0" fontId="16" numFmtId="0" xfId="0" applyAlignment="1" applyBorder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1695450</xdr:colOff>
      <xdr:row>7</xdr:row>
      <xdr:rowOff>76200</xdr:rowOff>
    </xdr:from>
    <xdr:ext cx="495300" cy="647700"/>
    <xdr:sp>
      <xdr:nvSpPr>
        <xdr:cNvPr id="3" name="Shape 3"/>
        <xdr:cNvSpPr/>
      </xdr:nvSpPr>
      <xdr:spPr>
        <a:xfrm>
          <a:off x="5117400" y="3475200"/>
          <a:ext cx="457200" cy="609600"/>
        </a:xfrm>
        <a:prstGeom prst="upArrow">
          <a:avLst>
            <a:gd fmla="val 50000" name="adj1"/>
            <a:gd fmla="val 50000" name="adj2"/>
          </a:avLst>
        </a:prstGeom>
        <a:solidFill>
          <a:srgbClr val="BB2233"/>
        </a:solidFill>
        <a:ln cap="flat" cmpd="sng" w="38100">
          <a:solidFill>
            <a:srgbClr val="0A0F0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rgbClr val="FF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</xdr:col>
      <xdr:colOff>1276350</xdr:colOff>
      <xdr:row>7</xdr:row>
      <xdr:rowOff>47625</xdr:rowOff>
    </xdr:from>
    <xdr:ext cx="495300" cy="647700"/>
    <xdr:sp>
      <xdr:nvSpPr>
        <xdr:cNvPr id="3" name="Shape 3"/>
        <xdr:cNvSpPr/>
      </xdr:nvSpPr>
      <xdr:spPr>
        <a:xfrm>
          <a:off x="5117400" y="3475200"/>
          <a:ext cx="457200" cy="609600"/>
        </a:xfrm>
        <a:prstGeom prst="upArrow">
          <a:avLst>
            <a:gd fmla="val 50000" name="adj1"/>
            <a:gd fmla="val 50000" name="adj2"/>
          </a:avLst>
        </a:prstGeom>
        <a:solidFill>
          <a:srgbClr val="BB2233"/>
        </a:solidFill>
        <a:ln cap="flat" cmpd="sng" w="38100">
          <a:solidFill>
            <a:srgbClr val="0A0F0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rgbClr val="FF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733425</xdr:colOff>
      <xdr:row>7</xdr:row>
      <xdr:rowOff>66675</xdr:rowOff>
    </xdr:from>
    <xdr:ext cx="495300" cy="647700"/>
    <xdr:sp>
      <xdr:nvSpPr>
        <xdr:cNvPr id="3" name="Shape 3"/>
        <xdr:cNvSpPr/>
      </xdr:nvSpPr>
      <xdr:spPr>
        <a:xfrm>
          <a:off x="5117400" y="3475200"/>
          <a:ext cx="457200" cy="609600"/>
        </a:xfrm>
        <a:prstGeom prst="upArrow">
          <a:avLst>
            <a:gd fmla="val 50000" name="adj1"/>
            <a:gd fmla="val 50000" name="adj2"/>
          </a:avLst>
        </a:prstGeom>
        <a:solidFill>
          <a:srgbClr val="BB2233"/>
        </a:solidFill>
        <a:ln cap="flat" cmpd="sng" w="38100">
          <a:solidFill>
            <a:srgbClr val="0A0F0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rgbClr val="FF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</xdr:col>
      <xdr:colOff>2200275</xdr:colOff>
      <xdr:row>2</xdr:row>
      <xdr:rowOff>104775</xdr:rowOff>
    </xdr:from>
    <xdr:ext cx="619125" cy="409575"/>
    <xdr:sp>
      <xdr:nvSpPr>
        <xdr:cNvPr id="4" name="Shape 4"/>
        <xdr:cNvSpPr/>
      </xdr:nvSpPr>
      <xdr:spPr>
        <a:xfrm rot="-5400000">
          <a:off x="5155500" y="3489488"/>
          <a:ext cx="381000" cy="581025"/>
        </a:xfrm>
        <a:prstGeom prst="upArrow">
          <a:avLst>
            <a:gd fmla="val 50000" name="adj1"/>
            <a:gd fmla="val 50000" name="adj2"/>
          </a:avLst>
        </a:prstGeom>
        <a:solidFill>
          <a:srgbClr val="BB2233"/>
        </a:solidFill>
        <a:ln cap="flat" cmpd="sng" w="38100">
          <a:solidFill>
            <a:srgbClr val="0A0F0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rgbClr val="FF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1762125</xdr:colOff>
      <xdr:row>2</xdr:row>
      <xdr:rowOff>123825</xdr:rowOff>
    </xdr:from>
    <xdr:ext cx="628650" cy="409575"/>
    <xdr:sp>
      <xdr:nvSpPr>
        <xdr:cNvPr id="5" name="Shape 5"/>
        <xdr:cNvSpPr/>
      </xdr:nvSpPr>
      <xdr:spPr>
        <a:xfrm rot="-5400000">
          <a:off x="5155500" y="3484725"/>
          <a:ext cx="381000" cy="590550"/>
        </a:xfrm>
        <a:prstGeom prst="upArrow">
          <a:avLst>
            <a:gd fmla="val 50000" name="adj1"/>
            <a:gd fmla="val 50000" name="adj2"/>
          </a:avLst>
        </a:prstGeom>
        <a:solidFill>
          <a:srgbClr val="BB2233"/>
        </a:solidFill>
        <a:ln cap="flat" cmpd="sng" w="38100">
          <a:solidFill>
            <a:srgbClr val="0A0F0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rgbClr val="FF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8</xdr:col>
      <xdr:colOff>19050</xdr:colOff>
      <xdr:row>12</xdr:row>
      <xdr:rowOff>133350</xdr:rowOff>
    </xdr:from>
    <xdr:ext cx="3743325" cy="3571875"/>
    <xdr:pic>
      <xdr:nvPicPr>
        <xdr:cNvPr descr="Localiza - Aluguel de Carros – Apps no Google Play"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My%20Drive/Projetos/VBA/1.%20Bases%20criadas%20no%20trabalho/AUTOMATIZA&#199;&#213;ES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BASE MANAGER"/>
      <sheetName val="MATRIZ"/>
      <sheetName val="RAIO-X"/>
      <sheetName val="P. ABERTOS"/>
      <sheetName val="TXT E IMPRESSÃO"/>
      <sheetName val="CQ REPORTS"/>
      <sheetName val="COMISSÕES"/>
      <sheetName val="PROMOTORES"/>
      <sheetName val="MERCHAN"/>
      <sheetName val="VERB. REDE"/>
      <sheetName val="C.C"/>
      <sheetName val="LOCALIZAR DOC"/>
      <sheetName val="PEDIDOS"/>
      <sheetName val="LOCALIZA"/>
      <sheetName val="REUNIÃO"/>
    </sheetNames>
    <definedNames>
      <definedName name="ReservaLocaliza.ReservaLocaliza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mailto:COMERCIAL3@will.COM.BR" TargetMode="External"/><Relationship Id="rId2" Type="http://schemas.openxmlformats.org/officeDocument/2006/relationships/hyperlink" Target="mailto:COMERCIAL6@will.COM.BR" TargetMode="External"/><Relationship Id="rId3" Type="http://schemas.openxmlformats.org/officeDocument/2006/relationships/hyperlink" Target="mailto:COMERCIAL9@will.COM.BR" TargetMode="External"/><Relationship Id="rId4" Type="http://schemas.openxmlformats.org/officeDocument/2006/relationships/hyperlink" Target="mailto:supplychain@will.com.br" TargetMode="External"/><Relationship Id="rId5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8">
    <tabColor rgb="FF7A1804"/>
    <pageSetUpPr/>
  </sheetPr>
  <sheetViews>
    <sheetView showGridLines="0" workbookViewId="0"/>
  </sheetViews>
  <sheetFormatPr customHeight="1" defaultColWidth="14.43" defaultRowHeight="15.0"/>
  <cols>
    <col customWidth="1" min="1" max="1" width="33.14"/>
    <col customWidth="1" min="2" max="2" width="47.57"/>
    <col customWidth="1" min="3" max="3" width="24.0"/>
    <col customWidth="1" min="4" max="4" width="51.29"/>
    <col customWidth="1" min="5" max="5" width="8.71"/>
    <col customWidth="1" min="6" max="6" width="6.0"/>
    <col customWidth="1" min="7" max="8" width="8.71"/>
    <col customWidth="1" min="9" max="10" width="31.71"/>
    <col customWidth="1" min="11" max="11" width="27.43"/>
    <col customWidth="1" min="12" max="12" width="13.43"/>
    <col customWidth="1" min="13" max="13" width="39.57"/>
    <col customWidth="1" min="14" max="26" width="8.71"/>
  </cols>
  <sheetData>
    <row r="1" ht="47.25" customHeight="1">
      <c r="A1" s="1" t="s">
        <v>0</v>
      </c>
      <c r="B1" s="2"/>
      <c r="C1" s="2"/>
      <c r="D1" s="2"/>
      <c r="E1" s="2"/>
      <c r="F1" s="2"/>
      <c r="G1" s="3"/>
    </row>
    <row r="2">
      <c r="I2" s="4" t="s">
        <v>1</v>
      </c>
      <c r="J2" s="5" t="s">
        <v>2</v>
      </c>
    </row>
    <row r="3">
      <c r="A3" s="6" t="s">
        <v>3</v>
      </c>
      <c r="B3" s="6" t="s">
        <v>4</v>
      </c>
      <c r="C3" s="7"/>
      <c r="D3" s="6" t="s">
        <v>5</v>
      </c>
      <c r="I3" s="8" t="s">
        <v>6</v>
      </c>
      <c r="J3" s="9" t="s">
        <v>7</v>
      </c>
    </row>
    <row r="4">
      <c r="A4" s="10">
        <v>45461.0</v>
      </c>
      <c r="B4" s="11">
        <v>0.5520833333333334</v>
      </c>
      <c r="C4" s="12"/>
      <c r="D4" s="13" t="str">
        <f>VLOOKUP(D7,I3:J6,2,FALSE)</f>
        <v>Agencia Aeroporto Int Brasilia</v>
      </c>
      <c r="I4" s="8" t="s">
        <v>8</v>
      </c>
      <c r="J4" s="9" t="s">
        <v>9</v>
      </c>
    </row>
    <row r="5">
      <c r="A5" s="7"/>
      <c r="B5" s="7"/>
      <c r="C5" s="12"/>
      <c r="D5" s="7"/>
      <c r="I5" s="8" t="s">
        <v>10</v>
      </c>
      <c r="J5" s="9" t="s">
        <v>11</v>
      </c>
    </row>
    <row r="6">
      <c r="A6" s="6" t="s">
        <v>12</v>
      </c>
      <c r="B6" s="6" t="s">
        <v>4</v>
      </c>
      <c r="C6" s="12"/>
      <c r="D6" s="14" t="s">
        <v>13</v>
      </c>
      <c r="E6" s="15"/>
      <c r="I6" s="8" t="s">
        <v>14</v>
      </c>
      <c r="J6" s="9" t="s">
        <v>7</v>
      </c>
    </row>
    <row r="7">
      <c r="A7" s="10">
        <v>45463.0</v>
      </c>
      <c r="B7" s="11">
        <v>0.638888888888889</v>
      </c>
      <c r="C7" s="7"/>
      <c r="D7" s="16" t="s">
        <v>14</v>
      </c>
      <c r="E7" s="15"/>
    </row>
    <row r="8">
      <c r="A8" s="17"/>
      <c r="B8" s="17"/>
      <c r="C8" s="17"/>
      <c r="I8" s="18" t="s">
        <v>15</v>
      </c>
      <c r="J8" s="18" t="s">
        <v>16</v>
      </c>
      <c r="K8" s="18" t="s">
        <v>17</v>
      </c>
      <c r="L8" s="18" t="s">
        <v>18</v>
      </c>
      <c r="M8" s="18" t="s">
        <v>19</v>
      </c>
      <c r="N8" s="18"/>
      <c r="O8" s="18"/>
    </row>
    <row r="9">
      <c r="A9" s="17"/>
      <c r="B9" s="17"/>
      <c r="C9" s="17"/>
      <c r="I9" s="8" t="s">
        <v>6</v>
      </c>
      <c r="J9" s="19">
        <v>6.5465169848563E13</v>
      </c>
      <c r="K9" s="8" t="s">
        <v>20</v>
      </c>
      <c r="L9" s="19" t="s">
        <v>21</v>
      </c>
      <c r="M9" s="20" t="s">
        <v>22</v>
      </c>
      <c r="N9" s="8"/>
      <c r="O9" s="8"/>
    </row>
    <row r="10">
      <c r="A10" s="17"/>
      <c r="B10" s="17"/>
      <c r="C10" s="17"/>
      <c r="I10" s="8" t="s">
        <v>8</v>
      </c>
      <c r="J10" s="19">
        <v>6.546516456003E12</v>
      </c>
      <c r="K10" s="8" t="s">
        <v>23</v>
      </c>
      <c r="L10" s="19" t="s">
        <v>24</v>
      </c>
      <c r="M10" s="20" t="s">
        <v>25</v>
      </c>
      <c r="N10" s="8"/>
      <c r="O10" s="8"/>
    </row>
    <row r="11">
      <c r="I11" s="8" t="s">
        <v>10</v>
      </c>
      <c r="J11" s="19">
        <v>8.5665201453E10</v>
      </c>
      <c r="K11" s="8" t="s">
        <v>26</v>
      </c>
      <c r="L11" s="19" t="s">
        <v>27</v>
      </c>
      <c r="M11" s="20" t="s">
        <v>28</v>
      </c>
      <c r="N11" s="8"/>
      <c r="O11" s="8"/>
    </row>
    <row r="12">
      <c r="A12" s="21" t="s">
        <v>29</v>
      </c>
      <c r="B12" s="2"/>
      <c r="C12" s="2"/>
      <c r="D12" s="2"/>
      <c r="E12" s="2"/>
      <c r="F12" s="2"/>
      <c r="G12" s="3"/>
      <c r="I12" s="8" t="s">
        <v>14</v>
      </c>
      <c r="J12" s="19">
        <v>4.5659863230456E13</v>
      </c>
      <c r="K12" s="8" t="s">
        <v>30</v>
      </c>
      <c r="L12" s="19">
        <v>9.63645263E8</v>
      </c>
      <c r="M12" s="20" t="s">
        <v>31</v>
      </c>
      <c r="N12" s="8"/>
      <c r="O12" s="8"/>
    </row>
    <row r="14">
      <c r="A14" s="22" t="s">
        <v>32</v>
      </c>
      <c r="B14" s="22" t="s">
        <v>33</v>
      </c>
      <c r="C14" s="22" t="s">
        <v>34</v>
      </c>
    </row>
    <row r="15" ht="21.0" customHeight="1">
      <c r="A15" s="13" t="s">
        <v>35</v>
      </c>
      <c r="B15" s="13" t="s">
        <v>16</v>
      </c>
      <c r="C15" s="23">
        <f>VLOOKUP(D7,I9:O12,2,FALSE)</f>
        <v>45659863230456</v>
      </c>
      <c r="D15" s="24"/>
    </row>
    <row r="16" ht="21.0" customHeight="1">
      <c r="A16" s="22" t="s">
        <v>36</v>
      </c>
      <c r="B16" s="22" t="s">
        <v>37</v>
      </c>
      <c r="C16" s="22" t="s">
        <v>38</v>
      </c>
      <c r="D16" s="24"/>
    </row>
    <row r="17" ht="19.5" customHeight="1">
      <c r="A17" s="13" t="str">
        <f>VLOOKUP(D7,I9:O12,3,FALSE)</f>
        <v>CLECIO</v>
      </c>
      <c r="B17" s="25" t="s">
        <v>39</v>
      </c>
      <c r="C17" s="26" t="s">
        <v>40</v>
      </c>
    </row>
    <row r="18">
      <c r="A18" s="22" t="s">
        <v>41</v>
      </c>
      <c r="B18" s="22" t="s">
        <v>42</v>
      </c>
    </row>
    <row r="19">
      <c r="A19" s="13" t="s">
        <v>43</v>
      </c>
      <c r="B19" s="13" t="s">
        <v>44</v>
      </c>
      <c r="C19" s="27" t="s">
        <v>45</v>
      </c>
      <c r="D19" s="17"/>
    </row>
    <row r="20">
      <c r="A20" s="17"/>
      <c r="B20" s="17"/>
      <c r="C20" s="17"/>
    </row>
    <row r="21" ht="15.75" customHeight="1">
      <c r="A21" s="22" t="s">
        <v>46</v>
      </c>
      <c r="B21" s="22" t="s">
        <v>47</v>
      </c>
      <c r="C21" s="22" t="s">
        <v>18</v>
      </c>
      <c r="D21" s="22" t="s">
        <v>37</v>
      </c>
    </row>
    <row r="22" ht="15.75" customHeight="1">
      <c r="A22" s="26">
        <v>55.0</v>
      </c>
      <c r="B22" s="26">
        <v>11.0</v>
      </c>
      <c r="C22" s="26">
        <f>VLOOKUP(D7,I9:O12,4,FALSE)</f>
        <v>963645263</v>
      </c>
      <c r="D22" s="28" t="str">
        <f>VLOOKUP(D7,I9:O12,5,FALSE)</f>
        <v>supplychain@will.com.br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G1"/>
    <mergeCell ref="D6:E6"/>
    <mergeCell ref="D7:E7"/>
    <mergeCell ref="A12:G12"/>
  </mergeCells>
  <dataValidations>
    <dataValidation type="list" allowBlank="1" showErrorMessage="1" sqref="D7">
      <formula1>$I$9:$I$18</formula1>
    </dataValidation>
    <dataValidation type="list" allowBlank="1" showErrorMessage="1" sqref="D4">
      <formula1>$J$3:$J$6</formula1>
    </dataValidation>
    <dataValidation type="date" operator="greaterThan" allowBlank="1" showInputMessage="1" showErrorMessage="1" prompt="ALERTA - DATA DEVE SER MAIOR DO QUE A RETIRADA_x000a_" sqref="A7">
      <formula1>A4</formula1>
    </dataValidation>
    <dataValidation type="custom" allowBlank="1" showErrorMessage="1" sqref="B7">
      <formula1>NE(B7,(0))</formula1>
    </dataValidation>
    <dataValidation type="date" operator="greaterThan" allowBlank="1" showInputMessage="1" showErrorMessage="1" prompt="ALERTA - Data Deve ser Maior do que hoje_x000a_" sqref="A4">
      <formula1>TODAY()-1</formula1>
    </dataValidation>
  </dataValidations>
  <hyperlinks>
    <hyperlink r:id="rId1" ref="M9"/>
    <hyperlink r:id="rId2" ref="M10"/>
    <hyperlink r:id="rId3" ref="M11"/>
    <hyperlink r:id="rId4" ref="M12"/>
  </hyperlinks>
  <printOptions/>
  <pageMargins bottom="0.787401575" footer="0.0" header="0.0" left="0.511811024" right="0.511811024" top="0.787401575"/>
  <pageSetup paperSize="9" scale="54" orientation="portrait"/>
  <drawing r:id="rId5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2024-05-25T12:55:36Z</dcterms:created>
  <dc:creator>WILLIAM</dc:creator>
</cp:coreProperties>
</file>